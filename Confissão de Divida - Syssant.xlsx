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ugi\Downloads\"/>
    </mc:Choice>
  </mc:AlternateContent>
  <xr:revisionPtr revIDLastSave="0" documentId="8_{254A9F56-DECA-40A5-BFD4-F029A52D2C73}" xr6:coauthVersionLast="47" xr6:coauthVersionMax="47" xr10:uidLastSave="{00000000-0000-0000-0000-000000000000}"/>
  <bookViews>
    <workbookView xWindow="19095" yWindow="0" windowWidth="19410" windowHeight="15585" xr2:uid="{DF338BDB-323B-403C-B66C-A46B79D96A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8" i="1" l="1"/>
  <c r="K105" i="1"/>
  <c r="M104" i="1"/>
  <c r="M105" i="1" s="1"/>
  <c r="F93" i="1"/>
  <c r="H93" i="1" s="1"/>
  <c r="H92" i="1"/>
  <c r="K64" i="1"/>
  <c r="F64" i="1"/>
  <c r="M63" i="1"/>
  <c r="M64" i="1" s="1"/>
  <c r="H63" i="1"/>
  <c r="H64" i="1" s="1"/>
  <c r="I6" i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J5" i="1"/>
  <c r="L5" i="1" s="1"/>
  <c r="M5" i="1" s="1"/>
  <c r="J6" i="1" s="1"/>
  <c r="L6" i="1" s="1"/>
  <c r="M6" i="1" s="1"/>
  <c r="J7" i="1" s="1"/>
  <c r="L7" i="1" s="1"/>
  <c r="M7" i="1" s="1"/>
  <c r="J8" i="1" s="1"/>
  <c r="L8" i="1" s="1"/>
  <c r="M8" i="1" s="1"/>
  <c r="J9" i="1" s="1"/>
  <c r="L9" i="1" s="1"/>
  <c r="M9" i="1" s="1"/>
  <c r="J10" i="1" s="1"/>
  <c r="L10" i="1" s="1"/>
  <c r="M10" i="1" s="1"/>
  <c r="J11" i="1" s="1"/>
  <c r="L11" i="1" s="1"/>
  <c r="M11" i="1" s="1"/>
  <c r="J12" i="1" s="1"/>
  <c r="L12" i="1" s="1"/>
  <c r="M12" i="1" s="1"/>
  <c r="J13" i="1" s="1"/>
  <c r="L13" i="1" s="1"/>
  <c r="M13" i="1" s="1"/>
  <c r="J14" i="1" s="1"/>
  <c r="L14" i="1" s="1"/>
  <c r="M14" i="1" s="1"/>
  <c r="J15" i="1" s="1"/>
  <c r="L15" i="1" s="1"/>
  <c r="M15" i="1" s="1"/>
  <c r="J16" i="1" s="1"/>
  <c r="L16" i="1" s="1"/>
  <c r="M16" i="1" s="1"/>
  <c r="J17" i="1" s="1"/>
  <c r="L17" i="1" s="1"/>
  <c r="M17" i="1" s="1"/>
  <c r="J18" i="1" s="1"/>
  <c r="L18" i="1" s="1"/>
  <c r="M18" i="1" s="1"/>
  <c r="J19" i="1" s="1"/>
  <c r="L19" i="1" s="1"/>
  <c r="M19" i="1" s="1"/>
  <c r="J20" i="1" s="1"/>
  <c r="L20" i="1" s="1"/>
  <c r="M20" i="1" s="1"/>
  <c r="J21" i="1" l="1"/>
  <c r="L21" i="1" s="1"/>
  <c r="M21" i="1" s="1"/>
  <c r="J22" i="1" s="1"/>
  <c r="L22" i="1" s="1"/>
  <c r="M22" i="1" s="1"/>
  <c r="J23" i="1" s="1"/>
  <c r="L23" i="1" l="1"/>
  <c r="M23" i="1" s="1"/>
  <c r="J24" i="1" s="1"/>
  <c r="M24" i="1" l="1"/>
  <c r="J25" i="1" s="1"/>
  <c r="L25" i="1" s="1"/>
  <c r="M25" i="1" s="1"/>
  <c r="J26" i="1" s="1"/>
  <c r="L26" i="1" s="1"/>
  <c r="M26" i="1" s="1"/>
  <c r="J27" i="1" s="1"/>
  <c r="L27" i="1" s="1"/>
  <c r="M27" i="1" s="1"/>
  <c r="J28" i="1" s="1"/>
  <c r="L28" i="1" s="1"/>
  <c r="M28" i="1" s="1"/>
  <c r="J29" i="1" s="1"/>
  <c r="L29" i="1" s="1"/>
  <c r="M29" i="1" s="1"/>
  <c r="J30" i="1" s="1"/>
  <c r="L30" i="1" s="1"/>
  <c r="M30" i="1" s="1"/>
  <c r="J31" i="1" s="1"/>
  <c r="L31" i="1" s="1"/>
  <c r="M31" i="1" s="1"/>
  <c r="J32" i="1" s="1"/>
  <c r="L32" i="1" s="1"/>
  <c r="M32" i="1" s="1"/>
  <c r="J33" i="1" s="1"/>
  <c r="L33" i="1" s="1"/>
  <c r="M33" i="1" s="1"/>
  <c r="J34" i="1" s="1"/>
  <c r="L34" i="1" s="1"/>
  <c r="M34" i="1" s="1"/>
  <c r="J35" i="1" s="1"/>
  <c r="L35" i="1" s="1"/>
  <c r="M35" i="1" s="1"/>
  <c r="J36" i="1" s="1"/>
  <c r="L36" i="1" s="1"/>
  <c r="M36" i="1" s="1"/>
  <c r="L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tc={C555C2F3-978E-4CDE-855B-3FCC72A9D085}</author>
    <author>tc={5381D3D9-6800-41E8-A473-F0E2AFD9AB60}</author>
    <author>tc={02321654-6EFF-4229-9CBE-7AAAF31904BB}</author>
    <author>tc={C16C21A8-D365-4697-ACBC-18FCB9C91026}</author>
    <author>Guilherme Gomes</author>
  </authors>
  <commentList>
    <comment ref="F5" authorId="0" shapeId="0" xr:uid="{C555C2F3-978E-4CDE-855B-3FCC72A9D0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Antes da RDA aderir ao SIMPLES, em conta R$ 30.970,50</t>
      </text>
    </comment>
    <comment ref="F6" authorId="1" shapeId="0" xr:uid="{5381D3D9-6800-41E8-A473-F0E2AFD9AB6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Antes da RDA aderir ao SIMPLES, em conta R$ 31.455,38
</t>
      </text>
    </comment>
    <comment ref="M10" authorId="2" shapeId="0" xr:uid="{02321654-6EFF-4229-9CBE-7AAAF31904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devedor dividido pelo número de parcelas restantes, acha o valor das parcelas e soma o IPCA e 1%</t>
      </text>
    </comment>
    <comment ref="F12" authorId="3" shapeId="0" xr:uid="{C16C21A8-D365-4697-ACBC-18FCB9C910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Somar o IPCA + 1%</t>
      </text>
    </comment>
    <comment ref="D13" authorId="4" shapeId="0" xr:uid="{AFC9749C-F2B5-4142-A544-27E1D50CDE16}">
      <text>
        <r>
          <rPr>
            <b/>
            <sz val="9"/>
            <color indexed="81"/>
            <rFont val="Segoe UI"/>
            <family val="2"/>
          </rPr>
          <t>Guilherme Gomes:</t>
        </r>
        <r>
          <rPr>
            <sz val="9"/>
            <color indexed="81"/>
            <rFont val="Segoe UI"/>
            <family val="2"/>
          </rPr>
          <t xml:space="preserve">
Quitada no dia 12/02/2025</t>
        </r>
      </text>
    </comment>
    <comment ref="D14" authorId="4" shapeId="0" xr:uid="{EB7ECA22-B63E-46D9-BDAA-0E4C674C46A6}">
      <text>
        <r>
          <rPr>
            <b/>
            <sz val="9"/>
            <color indexed="81"/>
            <rFont val="Segoe UI"/>
            <family val="2"/>
          </rPr>
          <t>Guilherme Gomes:</t>
        </r>
        <r>
          <rPr>
            <sz val="9"/>
            <color indexed="81"/>
            <rFont val="Segoe UI"/>
            <family val="2"/>
          </rPr>
          <t xml:space="preserve">
Quitada por completo dia 23/05/2025</t>
        </r>
      </text>
    </comment>
  </commentList>
</comments>
</file>

<file path=xl/sharedStrings.xml><?xml version="1.0" encoding="utf-8"?>
<sst xmlns="http://schemas.openxmlformats.org/spreadsheetml/2006/main" count="97" uniqueCount="72">
  <si>
    <t xml:space="preserve">Confissão de Dívida - Syssant </t>
  </si>
  <si>
    <t>Ao valor confessado, serão incorporados mensalmente correção monetária com base no IPCA/FGV bem como juros remuneratórios à base de 1% ao mês (aplicados sobre o valor da dívida ativa)</t>
  </si>
  <si>
    <t xml:space="preserve">Valor da Dívida - R$ 1.362.800,00 </t>
  </si>
  <si>
    <t xml:space="preserve">Parcelas </t>
  </si>
  <si>
    <t xml:space="preserve">Valor Original </t>
  </si>
  <si>
    <t xml:space="preserve">Valor pago </t>
  </si>
  <si>
    <t xml:space="preserve">Data do vencimento </t>
  </si>
  <si>
    <t xml:space="preserve">Data do Pagamento </t>
  </si>
  <si>
    <t xml:space="preserve">Total pago </t>
  </si>
  <si>
    <t>Valor da Dívida</t>
  </si>
  <si>
    <t>IPCA</t>
  </si>
  <si>
    <t>Base de Calculo IPCA</t>
  </si>
  <si>
    <t>Saldo Devedor Corrigido</t>
  </si>
  <si>
    <t>Parcela 1</t>
  </si>
  <si>
    <t>Quitada</t>
  </si>
  <si>
    <t>Parcela 2</t>
  </si>
  <si>
    <t>Parcela 3</t>
  </si>
  <si>
    <t>Parcela 4</t>
  </si>
  <si>
    <t>Parcela 5</t>
  </si>
  <si>
    <t>Parcela 6</t>
  </si>
  <si>
    <t>Parcela 7</t>
  </si>
  <si>
    <t>Parcela 8</t>
  </si>
  <si>
    <t>Parcela 9</t>
  </si>
  <si>
    <t>Parcela 10</t>
  </si>
  <si>
    <t>Parcela 11</t>
  </si>
  <si>
    <t>Parcela 12</t>
  </si>
  <si>
    <t>Parcela 13</t>
  </si>
  <si>
    <t>Parcela 14</t>
  </si>
  <si>
    <t>Parcela 15</t>
  </si>
  <si>
    <t>Parcela 16</t>
  </si>
  <si>
    <t>Parcela 17</t>
  </si>
  <si>
    <t>Parcela 18</t>
  </si>
  <si>
    <t>Parcela 19</t>
  </si>
  <si>
    <t>Parcela 20</t>
  </si>
  <si>
    <t>Parcela 21</t>
  </si>
  <si>
    <t>Parcela 22</t>
  </si>
  <si>
    <t>Parcela 23</t>
  </si>
  <si>
    <t>Parcela 24</t>
  </si>
  <si>
    <t>Parcela 25</t>
  </si>
  <si>
    <t>Parcela 26</t>
  </si>
  <si>
    <t>Parcela 27</t>
  </si>
  <si>
    <t>Parcela 28</t>
  </si>
  <si>
    <t>Parcela 29</t>
  </si>
  <si>
    <t>Parcela 30</t>
  </si>
  <si>
    <t>Parcela 31</t>
  </si>
  <si>
    <t>Parcela 32</t>
  </si>
  <si>
    <t>Parcela 8/8 (R$17.500,00)</t>
  </si>
  <si>
    <t>NF-e 69 - Janeiro</t>
  </si>
  <si>
    <t>NF-e 68 - Janeiro</t>
  </si>
  <si>
    <t xml:space="preserve">NF-e 3 - Março </t>
  </si>
  <si>
    <t>Total</t>
  </si>
  <si>
    <t>Pago</t>
  </si>
  <si>
    <t>Em aberto</t>
  </si>
  <si>
    <t xml:space="preserve">Aberto </t>
  </si>
  <si>
    <t>Valor</t>
  </si>
  <si>
    <t xml:space="preserve">Vencimento </t>
  </si>
  <si>
    <t>nf-e 3 - Março</t>
  </si>
  <si>
    <t>nf-e 6 - Março</t>
  </si>
  <si>
    <t xml:space="preserve">nf-e 13 - Abril </t>
  </si>
  <si>
    <t xml:space="preserve">nf-e 19 - Maio </t>
  </si>
  <si>
    <t>nf-e 28 - Junho</t>
  </si>
  <si>
    <t>nf-e 35 - Julho</t>
  </si>
  <si>
    <t>NF-e 76 - Fevereiro</t>
  </si>
  <si>
    <t>NF-e 75 - Fevereiro</t>
  </si>
  <si>
    <t>NF-e 6 - Março</t>
  </si>
  <si>
    <t xml:space="preserve">nf-e 43 - Agosto </t>
  </si>
  <si>
    <t>nf-e 50 - Setembro</t>
  </si>
  <si>
    <t xml:space="preserve">nf-e 57 - Outubro </t>
  </si>
  <si>
    <t>nf-e 64 - Janeiro</t>
  </si>
  <si>
    <t xml:space="preserve">Total em Aberto </t>
  </si>
  <si>
    <t xml:space="preserve">nf-e 62 - Dezembro </t>
  </si>
  <si>
    <t xml:space="preserve">nf-e 60 - Novembro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</si>
</sst>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16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3" borderId="4" xfId="0" applyNumberFormat="1" applyFill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0" xfId="0" applyNumberFormat="1"/>
    <xf numFmtId="0" fontId="0" fillId="0" borderId="7" xfId="0" applyBorder="1" applyAlignment="1">
      <alignment horizontal="left"/>
    </xf>
    <xf numFmtId="164" fontId="0" fillId="0" borderId="8" xfId="0" applyNumberFormat="1" applyBorder="1" applyAlignment="1">
      <alignment horizontal="center"/>
    </xf>
    <xf numFmtId="0" fontId="0" fillId="3" borderId="8" xfId="0" applyFill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164" fontId="0" fillId="5" borderId="4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14" fontId="0" fillId="6" borderId="4" xfId="0" applyNumberForma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7" borderId="4" xfId="0" applyFill="1" applyBorder="1"/>
    <xf numFmtId="164" fontId="0" fillId="7" borderId="4" xfId="0" applyNumberFormat="1" applyFill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164" fontId="0" fillId="8" borderId="4" xfId="0" applyNumberFormat="1" applyFill="1" applyBorder="1" applyAlignment="1">
      <alignment horizontal="center"/>
    </xf>
    <xf numFmtId="14" fontId="0" fillId="8" borderId="4" xfId="0" applyNumberFormat="1" applyFill="1" applyBorder="1" applyAlignment="1">
      <alignment horizontal="right"/>
    </xf>
    <xf numFmtId="14" fontId="0" fillId="0" borderId="4" xfId="0" applyNumberFormat="1" applyBorder="1" applyAlignment="1">
      <alignment horizontal="right"/>
    </xf>
    <xf numFmtId="164" fontId="0" fillId="6" borderId="4" xfId="0" applyNumberFormat="1" applyFill="1" applyBorder="1" applyAlignment="1">
      <alignment horizontal="center"/>
    </xf>
    <xf numFmtId="0" fontId="0" fillId="9" borderId="4" xfId="0" applyFill="1" applyBorder="1"/>
    <xf numFmtId="164" fontId="0" fillId="9" borderId="4" xfId="0" applyNumberFormat="1" applyFill="1" applyBorder="1"/>
    <xf numFmtId="14" fontId="0" fillId="7" borderId="4" xfId="0" applyNumberFormat="1" applyFill="1" applyBorder="1" applyAlignment="1">
      <alignment horizontal="left"/>
    </xf>
    <xf numFmtId="164" fontId="0" fillId="7" borderId="4" xfId="0" applyNumberFormat="1" applyFill="1" applyBorder="1" applyAlignment="1">
      <alignment horizontal="center"/>
    </xf>
    <xf numFmtId="0" fontId="0" fillId="10" borderId="4" xfId="0" applyFill="1" applyBorder="1"/>
    <xf numFmtId="164" fontId="0" fillId="10" borderId="4" xfId="0" applyNumberFormat="1" applyFill="1" applyBorder="1"/>
    <xf numFmtId="164" fontId="0" fillId="0" borderId="4" xfId="0" applyNumberFormat="1" applyFont="1" applyBorder="1" applyAlignment="1">
      <alignment horizontal="center"/>
    </xf>
    <xf numFmtId="164" fontId="0" fillId="5" borderId="4" xfId="0" applyNumberFormat="1" applyFont="1" applyFill="1" applyBorder="1" applyAlignment="1">
      <alignment horizontal="center"/>
    </xf>
    <xf numFmtId="14" fontId="0" fillId="11" borderId="4" xfId="0" applyNumberFormat="1" applyFont="1" applyFill="1" applyBorder="1" applyAlignment="1">
      <alignment horizontal="right"/>
    </xf>
    <xf numFmtId="14" fontId="0" fillId="5" borderId="4" xfId="0" applyNumberFormat="1" applyFont="1" applyFill="1" applyBorder="1" applyAlignment="1">
      <alignment horizontal="right"/>
    </xf>
    <xf numFmtId="0" fontId="0" fillId="8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15">
    <dxf>
      <numFmt numFmtId="164" formatCode="&quot;R$&quot;\ #,##0.00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lherme Orugian" id="{BE5717DA-A517-4B61-A9B5-197F05CD3BF9}" userId="8717ac53baac29e1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5A1CF1-20A1-46B5-AD8A-1D468D6CFF5D}" name="Tabela61531183026" displayName="Tabela61531183026" ref="D4:M36" totalsRowShown="0" headerRowDxfId="14" dataDxfId="12" headerRowBorderDxfId="13" tableBorderDxfId="11" totalsRowBorderDxfId="10">
  <autoFilter ref="D4:M36" xr:uid="{EE5A1CF1-20A1-46B5-AD8A-1D468D6CFF5D}"/>
  <tableColumns count="10">
    <tableColumn id="1" xr3:uid="{F595B4CC-8845-4DE5-A0D9-C82DAD307D9B}" name="Parcelas " dataDxfId="9"/>
    <tableColumn id="2" xr3:uid="{55BA7FF9-F416-44B4-8585-C0973B862047}" name="Valor Original " dataDxfId="8"/>
    <tableColumn id="3" xr3:uid="{34D2A347-6A7E-4EF8-A60D-FE9C76800548}" name="Valor pago " dataDxfId="7"/>
    <tableColumn id="6" xr3:uid="{F42525F9-3822-40C1-8F77-42F735CE2A6E}" name="Data do vencimento " dataDxfId="6"/>
    <tableColumn id="5" xr3:uid="{A5E59CC5-E78E-4D0B-9B59-4FAD798DFBA2}" name="Data do Pagamento " dataDxfId="5"/>
    <tableColumn id="7" xr3:uid="{25525C2C-D7BD-4FEF-8E26-FCA0F0203187}" name="Total pago " dataDxfId="4"/>
    <tableColumn id="9" xr3:uid="{E68A056F-EA42-4E47-A876-805CB314364A}" name="Valor da Dívida" dataDxfId="3">
      <calculatedColumnFormula>1362800 -F5</calculatedColumnFormula>
    </tableColumn>
    <tableColumn id="10" xr3:uid="{159A71D2-ECBC-41FE-8922-530840AAE5D7}" name="IPCA" dataDxfId="2"/>
    <tableColumn id="11" xr3:uid="{24405A5B-3CE8-44B9-B7DA-BB432750B1C8}" name="Base de Calculo IPCA" dataDxfId="1"/>
    <tableColumn id="8" xr3:uid="{3E7DFD78-ED27-446F-8BEA-75E3777D1264}" name="Saldo Devedor Corrigido" dataDxfId="0">
      <calculatedColumnFormula>L5+(L5*1%)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4-02-20T15:30:41.56" personId="{BE5717DA-A517-4B61-A9B5-197F05CD3BF9}" id="{C555C2F3-978E-4CDE-855B-3FCC72A9D085}">
    <text>Antes da RDA aderir ao SIMPLES, em conta R$ 30.970,50</text>
  </threadedComment>
  <threadedComment ref="F6" dT="2024-02-20T15:35:01.26" personId="{BE5717DA-A517-4B61-A9B5-197F05CD3BF9}" id="{5381D3D9-6800-41E8-A473-F0E2AFD9AB60}">
    <text xml:space="preserve">Antes da RDA aderir ao SIMPLES, em conta R$ 31.455,38
</text>
  </threadedComment>
  <threadedComment ref="M10" dT="2024-06-14T15:04:16.56" personId="{BE5717DA-A517-4B61-A9B5-197F05CD3BF9}" id="{02321654-6EFF-4229-9CBE-7AAAF31904BB}">
    <text>Valor devedor dividido pelo número de parcelas restantes, acha o valor das parcelas e soma o IPCA e 1%</text>
  </threadedComment>
  <threadedComment ref="F12" dT="2024-06-14T15:06:10.91" personId="{BE5717DA-A517-4B61-A9B5-197F05CD3BF9}" id="{C16C21A8-D365-4697-ACBC-18FCB9C91026}">
    <text>Somar o IPCA + 1%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1C5D-79EC-4640-BDE7-9DAFBD851D5C}">
  <dimension ref="A1:S105"/>
  <sheetViews>
    <sheetView tabSelected="1" topLeftCell="A44" zoomScale="85" zoomScaleNormal="85" workbookViewId="0">
      <selection activeCell="J39" sqref="J39"/>
    </sheetView>
  </sheetViews>
  <sheetFormatPr defaultRowHeight="15" x14ac:dyDescent="0.25"/>
  <cols>
    <col min="1" max="1" width="53.7109375" customWidth="1"/>
    <col min="2" max="2" width="15.140625" bestFit="1" customWidth="1"/>
    <col min="3" max="3" width="34" customWidth="1"/>
    <col min="4" max="4" width="17.85546875" customWidth="1"/>
    <col min="5" max="5" width="21.140625" customWidth="1"/>
    <col min="6" max="6" width="17.7109375" customWidth="1"/>
    <col min="7" max="7" width="20" customWidth="1"/>
    <col min="8" max="8" width="24" customWidth="1"/>
    <col min="9" max="9" width="25.42578125" customWidth="1"/>
    <col min="10" max="10" width="38" customWidth="1"/>
    <col min="11" max="11" width="26.28515625" customWidth="1"/>
    <col min="12" max="12" width="28.85546875" customWidth="1"/>
    <col min="13" max="13" width="35.5703125" customWidth="1"/>
    <col min="15" max="15" width="36.42578125" customWidth="1"/>
    <col min="16" max="17" width="28.7109375" customWidth="1"/>
    <col min="18" max="18" width="17" customWidth="1"/>
    <col min="19" max="19" width="20.85546875" customWidth="1"/>
    <col min="20" max="20" width="28.140625" customWidth="1"/>
    <col min="21" max="21" width="29" customWidth="1"/>
    <col min="22" max="22" width="26" customWidth="1"/>
    <col min="23" max="23" width="16.28515625" bestFit="1" customWidth="1"/>
    <col min="24" max="24" width="15" bestFit="1" customWidth="1"/>
    <col min="25" max="25" width="17.7109375" bestFit="1" customWidth="1"/>
    <col min="26" max="28" width="21.7109375" customWidth="1"/>
  </cols>
  <sheetData>
    <row r="1" spans="1:13" ht="33" customHeight="1" x14ac:dyDescent="0.25">
      <c r="A1" s="1" t="s">
        <v>0</v>
      </c>
    </row>
    <row r="2" spans="1:13" ht="60" x14ac:dyDescent="0.25">
      <c r="A2" s="2" t="s">
        <v>1</v>
      </c>
    </row>
    <row r="4" spans="1:13" ht="17.25" x14ac:dyDescent="0.3">
      <c r="A4" s="3" t="s">
        <v>2</v>
      </c>
      <c r="D4" s="4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6" t="s">
        <v>10</v>
      </c>
      <c r="L4" s="5" t="s">
        <v>11</v>
      </c>
      <c r="M4" s="7" t="s">
        <v>12</v>
      </c>
    </row>
    <row r="5" spans="1:13" x14ac:dyDescent="0.25">
      <c r="D5" s="8" t="s">
        <v>13</v>
      </c>
      <c r="E5" s="9">
        <v>31400</v>
      </c>
      <c r="F5" s="9">
        <v>31400</v>
      </c>
      <c r="G5" s="10">
        <v>45430</v>
      </c>
      <c r="H5" s="11" t="s">
        <v>14</v>
      </c>
      <c r="I5" s="9">
        <v>33000</v>
      </c>
      <c r="J5" s="9">
        <f t="shared" ref="J5" si="0">1362800 -F5</f>
        <v>1331400</v>
      </c>
      <c r="K5" s="12">
        <v>4.5999999999999999E-3</v>
      </c>
      <c r="L5" s="9">
        <f>J5+(J5*0.46%)</f>
        <v>1337524.44</v>
      </c>
      <c r="M5" s="13">
        <f>L5+(L5*1%)</f>
        <v>1350899.6843999999</v>
      </c>
    </row>
    <row r="6" spans="1:13" x14ac:dyDescent="0.25">
      <c r="D6" s="8" t="s">
        <v>15</v>
      </c>
      <c r="E6" s="9">
        <v>31400</v>
      </c>
      <c r="F6" s="9">
        <v>31859.88</v>
      </c>
      <c r="G6" s="10">
        <v>45461</v>
      </c>
      <c r="H6" s="11" t="s">
        <v>14</v>
      </c>
      <c r="I6" s="9">
        <f>I5+Tabela61531183026[[#This Row],[Valor pago ]]</f>
        <v>64859.880000000005</v>
      </c>
      <c r="J6" s="9">
        <f>M5-Tabela61531183026[[#This Row],[Valor pago ]]</f>
        <v>1319039.8044</v>
      </c>
      <c r="K6" s="12">
        <v>2.0999999999999999E-3</v>
      </c>
      <c r="L6" s="9">
        <f>Tabela61531183026[[#This Row],[Valor da Dívida]]+(Tabela61531183026[[#This Row],[Valor da Dívida]]*0.21%)</f>
        <v>1321809.7879892399</v>
      </c>
      <c r="M6" s="9">
        <f t="shared" ref="M6:M36" si="1">L6+(L6*1%)</f>
        <v>1335027.8858691324</v>
      </c>
    </row>
    <row r="7" spans="1:13" x14ac:dyDescent="0.25">
      <c r="D7" s="8" t="s">
        <v>16</v>
      </c>
      <c r="E7" s="9">
        <v>43333.33</v>
      </c>
      <c r="F7" s="9">
        <v>44500.93</v>
      </c>
      <c r="G7" s="10">
        <v>45491</v>
      </c>
      <c r="H7" s="11" t="s">
        <v>14</v>
      </c>
      <c r="I7" s="9">
        <f>I6+Tabela61531183026[[#This Row],[Valor pago ]]</f>
        <v>109360.81</v>
      </c>
      <c r="J7" s="9">
        <f>M6 -F7</f>
        <v>1290526.9558691324</v>
      </c>
      <c r="K7" s="12">
        <v>3.8E-3</v>
      </c>
      <c r="L7" s="9">
        <f>J7+(J7*0.38%)</f>
        <v>1295430.9583014352</v>
      </c>
      <c r="M7" s="13">
        <f t="shared" si="1"/>
        <v>1308385.2678844496</v>
      </c>
    </row>
    <row r="8" spans="1:13" x14ac:dyDescent="0.25">
      <c r="D8" s="8" t="s">
        <v>17</v>
      </c>
      <c r="E8" s="9">
        <v>43333.33</v>
      </c>
      <c r="F8" s="9">
        <v>45116.73</v>
      </c>
      <c r="G8" s="10">
        <v>45522</v>
      </c>
      <c r="H8" s="11" t="s">
        <v>14</v>
      </c>
      <c r="I8" s="9">
        <f>I7+Tabela61531183026[[#This Row],[Valor pago ]]</f>
        <v>154477.54</v>
      </c>
      <c r="J8" s="9">
        <f>M7 -F8</f>
        <v>1263268.5378844496</v>
      </c>
      <c r="K8" s="14">
        <v>-2.0000000000000001E-4</v>
      </c>
      <c r="L8" s="9">
        <f>Tabela61531183026[[#This Row],[Valor da Dívida]]+(Tabela61531183026[[#This Row],[Valor da Dívida]]*-0.02%)</f>
        <v>1263015.8841768727</v>
      </c>
      <c r="M8" s="9">
        <f t="shared" si="1"/>
        <v>1275646.0430186414</v>
      </c>
    </row>
    <row r="9" spans="1:13" x14ac:dyDescent="0.25">
      <c r="D9" s="8" t="s">
        <v>18</v>
      </c>
      <c r="E9" s="9">
        <v>43333.33</v>
      </c>
      <c r="F9" s="9">
        <v>45558.79</v>
      </c>
      <c r="G9" s="10">
        <v>45553</v>
      </c>
      <c r="H9" s="11" t="s">
        <v>14</v>
      </c>
      <c r="I9" s="9">
        <f>I8+Tabela61531183026[[#This Row],[Valor pago ]]</f>
        <v>200036.33000000002</v>
      </c>
      <c r="J9" s="9">
        <f>M8 -F9</f>
        <v>1230087.2530186414</v>
      </c>
      <c r="K9" s="14">
        <v>4.4000000000000003E-3</v>
      </c>
      <c r="L9" s="9">
        <f>J9+(J9*0.44%)</f>
        <v>1235499.6369319235</v>
      </c>
      <c r="M9" s="13">
        <f t="shared" si="1"/>
        <v>1247854.6333012427</v>
      </c>
    </row>
    <row r="10" spans="1:13" x14ac:dyDescent="0.25">
      <c r="D10" s="8" t="s">
        <v>19</v>
      </c>
      <c r="E10" s="9">
        <v>43333.33</v>
      </c>
      <c r="F10" s="9">
        <v>46216.84</v>
      </c>
      <c r="G10" s="10">
        <v>45583</v>
      </c>
      <c r="H10" s="11" t="s">
        <v>14</v>
      </c>
      <c r="I10" s="9">
        <f>I9+Tabela61531183026[[#This Row],[Valor pago ]]</f>
        <v>246253.17</v>
      </c>
      <c r="J10" s="9">
        <f>M9-Tabela61531183026[[#This Row],[Valor pago ]]</f>
        <v>1201637.7933012426</v>
      </c>
      <c r="K10" s="12">
        <v>5.5999999999999999E-3</v>
      </c>
      <c r="L10" s="9">
        <f>Tabela61531183026[[#This Row],[Valor da Dívida]]+(Tabela61531183026[[#This Row],[Valor da Dívida]]*0.56%)</f>
        <v>1208366.9649437296</v>
      </c>
      <c r="M10" s="9">
        <f>L10+(L10*1%)</f>
        <v>1220450.6345931669</v>
      </c>
    </row>
    <row r="11" spans="1:13" x14ac:dyDescent="0.25">
      <c r="D11" s="8" t="s">
        <v>20</v>
      </c>
      <c r="E11" s="9">
        <v>43333.33</v>
      </c>
      <c r="F11" s="9">
        <v>46940.41</v>
      </c>
      <c r="G11" s="10">
        <v>45614</v>
      </c>
      <c r="H11" s="11" t="s">
        <v>14</v>
      </c>
      <c r="I11" s="9">
        <f>I10+Tabela61531183026[[#This Row],[Valor pago ]]</f>
        <v>293193.58</v>
      </c>
      <c r="J11" s="9">
        <f t="shared" ref="J11:J13" si="2">M10 -F11</f>
        <v>1173510.224593167</v>
      </c>
      <c r="K11" s="12">
        <v>3.8999999999999998E-3</v>
      </c>
      <c r="L11" s="9">
        <f>J11+(J11*0.39%)</f>
        <v>1178086.9144690803</v>
      </c>
      <c r="M11" s="13">
        <f>L11+(L11*1%)</f>
        <v>1189867.783613771</v>
      </c>
    </row>
    <row r="12" spans="1:13" x14ac:dyDescent="0.25">
      <c r="D12" s="8" t="s">
        <v>21</v>
      </c>
      <c r="E12" s="9">
        <v>43333.33</v>
      </c>
      <c r="F12" s="9">
        <v>47594.71</v>
      </c>
      <c r="G12" s="10">
        <v>45644</v>
      </c>
      <c r="H12" s="11" t="s">
        <v>14</v>
      </c>
      <c r="I12" s="9">
        <f>I11+Tabela61531183026[[#This Row],[Valor pago ]]</f>
        <v>340788.29000000004</v>
      </c>
      <c r="J12" s="9">
        <f t="shared" si="2"/>
        <v>1142273.073613771</v>
      </c>
      <c r="K12" s="12">
        <v>5.1999999999999998E-3</v>
      </c>
      <c r="L12" s="9">
        <f>Tabela61531183026[[#This Row],[Valor da Dívida]]+(Tabela61531183026[[#This Row],[Valor da Dívida]]*0.42%)</f>
        <v>1147070.6205229489</v>
      </c>
      <c r="M12" s="9">
        <f t="shared" si="1"/>
        <v>1158541.3267281784</v>
      </c>
    </row>
    <row r="13" spans="1:13" x14ac:dyDescent="0.25">
      <c r="D13" s="8" t="s">
        <v>22</v>
      </c>
      <c r="E13" s="9">
        <v>43333.33</v>
      </c>
      <c r="F13" s="9">
        <v>49008.81</v>
      </c>
      <c r="G13" s="10">
        <v>45675</v>
      </c>
      <c r="H13" s="15" t="s">
        <v>14</v>
      </c>
      <c r="I13" s="9">
        <f>I12+Tabela61531183026[[#This Row],[Valor pago ]]</f>
        <v>389797.10000000003</v>
      </c>
      <c r="J13" s="9">
        <f t="shared" si="2"/>
        <v>1109532.5167281784</v>
      </c>
      <c r="K13" s="12">
        <v>1.6000000000000001E-3</v>
      </c>
      <c r="L13" s="9">
        <f>J13+(J13*0.16%)</f>
        <v>1111307.7687549435</v>
      </c>
      <c r="M13" s="13">
        <f t="shared" si="1"/>
        <v>1122420.8464424929</v>
      </c>
    </row>
    <row r="14" spans="1:13" x14ac:dyDescent="0.25">
      <c r="D14" s="8" t="s">
        <v>23</v>
      </c>
      <c r="E14" s="9">
        <v>43333.33</v>
      </c>
      <c r="F14" s="9">
        <v>49367.78</v>
      </c>
      <c r="G14" s="10">
        <v>45706</v>
      </c>
      <c r="H14" s="16" t="s">
        <v>14</v>
      </c>
      <c r="I14" s="9">
        <f>I13+Tabela61531183026[[#This Row],[Valor pago ]]</f>
        <v>439164.88</v>
      </c>
      <c r="J14" s="9">
        <f>M13-Tabela61531183026[[#This Row],[Valor pago ]]</f>
        <v>1073053.0664424929</v>
      </c>
      <c r="K14" s="12">
        <v>1.3100000000000001E-2</v>
      </c>
      <c r="L14" s="9">
        <f>Tabela61531183026[[#This Row],[Valor da Dívida]]+(Tabela61531183026[[#This Row],[Valor da Dívida]]*1.31%)</f>
        <v>1087110.0616128896</v>
      </c>
      <c r="M14" s="9">
        <f t="shared" si="1"/>
        <v>1097981.1622290185</v>
      </c>
    </row>
    <row r="15" spans="1:13" x14ac:dyDescent="0.25">
      <c r="D15" s="8" t="s">
        <v>24</v>
      </c>
      <c r="E15" s="9">
        <v>43333.33</v>
      </c>
      <c r="F15" s="9">
        <v>49908.24</v>
      </c>
      <c r="G15" s="10">
        <v>45734</v>
      </c>
      <c r="H15" s="15"/>
      <c r="I15" s="9">
        <f>I14+Tabela61531183026[[#This Row],[Valor pago ]]</f>
        <v>489073.12</v>
      </c>
      <c r="J15" s="9">
        <f t="shared" ref="J15:J17" si="3">M14 -F15</f>
        <v>1048072.9222290185</v>
      </c>
      <c r="K15" s="12">
        <v>5.5999999999999999E-3</v>
      </c>
      <c r="L15" s="9">
        <f>J15+(J15*0.56%)</f>
        <v>1053942.130593501</v>
      </c>
      <c r="M15" s="13">
        <f t="shared" si="1"/>
        <v>1064481.5518994359</v>
      </c>
    </row>
    <row r="16" spans="1:13" x14ac:dyDescent="0.25">
      <c r="D16" s="8" t="s">
        <v>25</v>
      </c>
      <c r="E16" s="9">
        <v>43333.33</v>
      </c>
      <c r="F16" s="9">
        <v>50689.599999999999</v>
      </c>
      <c r="G16" s="10">
        <v>45765</v>
      </c>
      <c r="H16" s="16"/>
      <c r="I16" s="9">
        <f>I15+Tabela61531183026[[#This Row],[Valor pago ]]</f>
        <v>539762.72</v>
      </c>
      <c r="J16" s="9">
        <f t="shared" si="3"/>
        <v>1013791.951899436</v>
      </c>
      <c r="K16" s="12">
        <v>4.3E-3</v>
      </c>
      <c r="L16" s="9">
        <f>Tabela61531183026[[#This Row],[Valor da Dívida]]+(Tabela61531183026[[#This Row],[Valor da Dívida]]*0.43%)</f>
        <v>1018151.2572926035</v>
      </c>
      <c r="M16" s="9">
        <f t="shared" si="1"/>
        <v>1028332.7698655295</v>
      </c>
    </row>
    <row r="17" spans="4:15" x14ac:dyDescent="0.25">
      <c r="D17" s="8" t="s">
        <v>26</v>
      </c>
      <c r="E17" s="9">
        <v>43333.33</v>
      </c>
      <c r="F17" s="9">
        <v>51416.639999999999</v>
      </c>
      <c r="G17" s="10">
        <v>45795</v>
      </c>
      <c r="H17" s="15"/>
      <c r="I17" s="9">
        <f>I16+Tabela61531183026[[#This Row],[Valor pago ]]</f>
        <v>591179.36</v>
      </c>
      <c r="J17" s="9">
        <f t="shared" si="3"/>
        <v>976916.12986552948</v>
      </c>
      <c r="K17" s="12">
        <v>2.5999999999999999E-3</v>
      </c>
      <c r="L17" s="9">
        <f>J17+(J17*0.26%)</f>
        <v>979456.11180317984</v>
      </c>
      <c r="M17" s="13">
        <f t="shared" si="1"/>
        <v>989250.67292121169</v>
      </c>
    </row>
    <row r="18" spans="4:15" x14ac:dyDescent="0.25">
      <c r="D18" s="8" t="s">
        <v>27</v>
      </c>
      <c r="E18" s="9">
        <v>43333.33</v>
      </c>
      <c r="F18" s="9">
        <v>52065.83</v>
      </c>
      <c r="G18" s="10">
        <v>45826</v>
      </c>
      <c r="H18" s="16"/>
      <c r="I18" s="9">
        <f>I17+Tabela61531183026[[#This Row],[Valor pago ]]</f>
        <v>643245.18999999994</v>
      </c>
      <c r="J18" s="9">
        <f>M17-Tabela61531183026[[#This Row],[Valor pago ]]</f>
        <v>937184.84292121173</v>
      </c>
      <c r="K18" s="12">
        <v>2.3999999999999998E-3</v>
      </c>
      <c r="L18" s="9">
        <f>Tabela61531183026[[#This Row],[Valor da Dívida]]+(Tabela61531183026[[#This Row],[Valor da Dívida]]*0.24%)</f>
        <v>939434.08654422266</v>
      </c>
      <c r="M18" s="9">
        <f t="shared" si="1"/>
        <v>948828.42740966484</v>
      </c>
    </row>
    <row r="19" spans="4:15" x14ac:dyDescent="0.25">
      <c r="D19" s="8" t="s">
        <v>28</v>
      </c>
      <c r="E19" s="9">
        <v>43333.33</v>
      </c>
      <c r="F19" s="9">
        <v>52712.7</v>
      </c>
      <c r="G19" s="10">
        <v>45856</v>
      </c>
      <c r="H19" s="15"/>
      <c r="I19" s="9">
        <f>I18+Tabela61531183026[[#This Row],[Valor pago ]]</f>
        <v>695957.8899999999</v>
      </c>
      <c r="J19" s="9">
        <f t="shared" ref="J19:J21" si="4">M18 -F19</f>
        <v>896115.72740966489</v>
      </c>
      <c r="K19" s="12">
        <v>2.5999999999999999E-3</v>
      </c>
      <c r="L19" s="9">
        <f>J19+(J19*0.26%)</f>
        <v>898445.62830093002</v>
      </c>
      <c r="M19" s="13">
        <f t="shared" si="1"/>
        <v>907430.08458393929</v>
      </c>
    </row>
    <row r="20" spans="4:15" x14ac:dyDescent="0.25">
      <c r="D20" s="8" t="s">
        <v>29</v>
      </c>
      <c r="E20" s="9">
        <v>43333.33</v>
      </c>
      <c r="F20" s="9">
        <v>53378.239999999998</v>
      </c>
      <c r="G20" s="10">
        <v>45887</v>
      </c>
      <c r="H20" s="16"/>
      <c r="I20" s="9">
        <f>I19+Tabela61531183026[[#This Row],[Valor pago ]]</f>
        <v>749336.12999999989</v>
      </c>
      <c r="J20" s="9">
        <f t="shared" si="4"/>
        <v>854051.8445839393</v>
      </c>
      <c r="K20" s="12">
        <v>-1.1000000000000001E-3</v>
      </c>
      <c r="L20" s="9">
        <f>Tabela61531183026[[#This Row],[Valor da Dívida]]+(Tabela61531183026[[#This Row],[Valor da Dívida]]*-0.11%)</f>
        <v>853112.387554897</v>
      </c>
      <c r="M20" s="9">
        <f t="shared" si="1"/>
        <v>861643.51143044594</v>
      </c>
      <c r="O20" s="17"/>
    </row>
    <row r="21" spans="4:15" x14ac:dyDescent="0.25">
      <c r="D21" s="8" t="s">
        <v>30</v>
      </c>
      <c r="E21" s="9">
        <v>43333.33</v>
      </c>
      <c r="F21" s="9">
        <v>53852.72</v>
      </c>
      <c r="G21" s="10">
        <v>45918</v>
      </c>
      <c r="H21" s="15"/>
      <c r="I21" s="9">
        <f>I20+Tabela61531183026[[#This Row],[Valor pago ]]</f>
        <v>803188.84999999986</v>
      </c>
      <c r="J21" s="9">
        <f t="shared" si="4"/>
        <v>807790.79143044597</v>
      </c>
      <c r="K21" s="12">
        <v>4.7999999999999996E-3</v>
      </c>
      <c r="L21" s="9">
        <f>J21+(J21*0.48%)</f>
        <v>811668.18722931214</v>
      </c>
      <c r="M21" s="13">
        <f t="shared" si="1"/>
        <v>819784.86910160526</v>
      </c>
    </row>
    <row r="22" spans="4:15" x14ac:dyDescent="0.25">
      <c r="D22" s="8" t="s">
        <v>31</v>
      </c>
      <c r="E22" s="9">
        <v>43333.33</v>
      </c>
      <c r="F22" s="9">
        <v>54652.33</v>
      </c>
      <c r="G22" s="10">
        <v>45948</v>
      </c>
      <c r="H22" s="16"/>
      <c r="I22" s="9">
        <f>I21+Tabela61531183026[[#This Row],[Valor pago ]]</f>
        <v>857841.17999999982</v>
      </c>
      <c r="J22" s="9">
        <f>M21-Tabela61531183026[[#This Row],[Valor pago ]]</f>
        <v>765132.5391016053</v>
      </c>
      <c r="K22" s="12">
        <v>8.9999999999999998E-4</v>
      </c>
      <c r="L22" s="9">
        <f>Tabela61531183026[[#This Row],[Valor da Dívida]]+(Tabela61531183026[[#This Row],[Valor da Dívida]]*0.09%)</f>
        <v>765821.15838679671</v>
      </c>
      <c r="M22" s="9">
        <f t="shared" si="1"/>
        <v>773479.36997066473</v>
      </c>
    </row>
    <row r="23" spans="4:15" x14ac:dyDescent="0.25">
      <c r="D23" s="8" t="s">
        <v>32</v>
      </c>
      <c r="E23" s="9">
        <v>43333.33</v>
      </c>
      <c r="F23" s="9">
        <v>55248.53</v>
      </c>
      <c r="G23" s="10">
        <v>45979</v>
      </c>
      <c r="H23" s="15"/>
      <c r="I23" s="9">
        <f>I22+Tabela61531183026[[#This Row],[Valor pago ]]</f>
        <v>913089.70999999985</v>
      </c>
      <c r="J23" s="9">
        <f t="shared" ref="J23:J25" si="5">M22 -F23</f>
        <v>718230.8399706647</v>
      </c>
      <c r="K23" s="12">
        <v>1.8E-3</v>
      </c>
      <c r="L23" s="9">
        <f>J23+(J23*0.18%)</f>
        <v>719523.65548261185</v>
      </c>
      <c r="M23" s="13">
        <f t="shared" si="1"/>
        <v>726718.892037438</v>
      </c>
    </row>
    <row r="24" spans="4:15" x14ac:dyDescent="0.25">
      <c r="D24" s="8" t="s">
        <v>33</v>
      </c>
      <c r="E24" s="9">
        <v>43333.33</v>
      </c>
      <c r="F24" s="9">
        <v>55901.45</v>
      </c>
      <c r="G24" s="10">
        <v>46009</v>
      </c>
      <c r="H24" s="16"/>
      <c r="I24" s="9">
        <f>I23+Tabela61531183026[[#This Row],[Valor pago ]]</f>
        <v>968991.1599999998</v>
      </c>
      <c r="J24" s="9">
        <f t="shared" si="5"/>
        <v>670817.44203743804</v>
      </c>
      <c r="K24" s="12">
        <v>3.3E-3</v>
      </c>
      <c r="L24" s="9">
        <f>Tabela61531183026[[#This Row],[Valor da Dívida]]+(Tabela61531183026[[#This Row],[Valor da Dívida]]*0.33%)</f>
        <v>673031.13959616155</v>
      </c>
      <c r="M24" s="9">
        <f t="shared" si="1"/>
        <v>679761.45099212311</v>
      </c>
    </row>
    <row r="25" spans="4:15" x14ac:dyDescent="0.25">
      <c r="D25" s="18" t="s">
        <v>34</v>
      </c>
      <c r="E25" s="9">
        <v>43333.33</v>
      </c>
      <c r="F25" s="19">
        <v>56646.79</v>
      </c>
      <c r="G25" s="10">
        <v>46040</v>
      </c>
      <c r="H25" s="20"/>
      <c r="I25" s="19">
        <f>I24+Tabela61531183026[[#This Row],[Valor pago ]]</f>
        <v>1025637.9499999998</v>
      </c>
      <c r="J25" s="9">
        <f t="shared" si="5"/>
        <v>623114.66099212307</v>
      </c>
      <c r="K25" s="21"/>
      <c r="L25" s="19">
        <f>J25+(J25*0.56%)</f>
        <v>626604.10309367895</v>
      </c>
      <c r="M25" s="13">
        <f t="shared" si="1"/>
        <v>632870.1441246157</v>
      </c>
    </row>
    <row r="26" spans="4:15" x14ac:dyDescent="0.25">
      <c r="D26" s="8" t="s">
        <v>35</v>
      </c>
      <c r="E26" s="9">
        <v>43333.33</v>
      </c>
      <c r="F26" s="9"/>
      <c r="G26" s="10">
        <v>46071</v>
      </c>
      <c r="H26" s="15"/>
      <c r="I26" s="9">
        <f>I25+Tabela61531183026[[#This Row],[Valor pago ]]</f>
        <v>1025637.9499999998</v>
      </c>
      <c r="J26" s="9">
        <f>M25-Tabela61531183026[[#This Row],[Valor pago ]]</f>
        <v>632870.1441246157</v>
      </c>
      <c r="K26" s="12"/>
      <c r="L26" s="9">
        <f t="shared" ref="L26" si="6">J26+(J26*0.56%)</f>
        <v>636414.21693171351</v>
      </c>
      <c r="M26" s="22">
        <f t="shared" si="1"/>
        <v>642778.35910103063</v>
      </c>
    </row>
    <row r="27" spans="4:15" x14ac:dyDescent="0.25">
      <c r="D27" s="8" t="s">
        <v>36</v>
      </c>
      <c r="E27" s="9">
        <v>43333.33</v>
      </c>
      <c r="F27" s="9"/>
      <c r="G27" s="10">
        <v>46099</v>
      </c>
      <c r="H27" s="16"/>
      <c r="I27" s="9">
        <f>I26+Tabela61531183026[[#This Row],[Valor pago ]]</f>
        <v>1025637.9499999998</v>
      </c>
      <c r="J27" s="9">
        <f t="shared" ref="J27:J29" si="7">M26 -F27</f>
        <v>642778.35910103063</v>
      </c>
      <c r="K27" s="12"/>
      <c r="L27" s="9">
        <f>Tabela61531183026[[#This Row],[Valor da Dívida]]+(Tabela61531183026[[#This Row],[Valor da Dívida]]*0.42%)</f>
        <v>645478.02820925496</v>
      </c>
      <c r="M27" s="9">
        <f t="shared" si="1"/>
        <v>651932.80849134747</v>
      </c>
    </row>
    <row r="28" spans="4:15" x14ac:dyDescent="0.25">
      <c r="D28" s="18" t="s">
        <v>37</v>
      </c>
      <c r="E28" s="9">
        <v>43333.33</v>
      </c>
      <c r="F28" s="19"/>
      <c r="G28" s="10">
        <v>46130</v>
      </c>
      <c r="H28" s="20"/>
      <c r="I28" s="19">
        <f>I27+Tabela61531183026[[#This Row],[Valor pago ]]</f>
        <v>1025637.9499999998</v>
      </c>
      <c r="J28" s="9">
        <f t="shared" si="7"/>
        <v>651932.80849134747</v>
      </c>
      <c r="K28" s="21"/>
      <c r="L28" s="19">
        <f t="shared" ref="L28:L29" si="8">J28+(J28*0.56%)</f>
        <v>655583.63221889897</v>
      </c>
      <c r="M28" s="22">
        <f t="shared" si="1"/>
        <v>662139.46854108793</v>
      </c>
    </row>
    <row r="29" spans="4:15" x14ac:dyDescent="0.25">
      <c r="D29" s="8" t="s">
        <v>38</v>
      </c>
      <c r="E29" s="9">
        <v>43333.33</v>
      </c>
      <c r="F29" s="9"/>
      <c r="G29" s="10">
        <v>46160</v>
      </c>
      <c r="H29" s="15"/>
      <c r="I29" s="9">
        <f>I28+Tabela61531183026[[#This Row],[Valor pago ]]</f>
        <v>1025637.9499999998</v>
      </c>
      <c r="J29" s="9">
        <f t="shared" si="7"/>
        <v>662139.46854108793</v>
      </c>
      <c r="K29" s="12"/>
      <c r="L29" s="9">
        <f t="shared" si="8"/>
        <v>665847.44956491806</v>
      </c>
      <c r="M29" s="13">
        <f t="shared" si="1"/>
        <v>672505.92406056728</v>
      </c>
    </row>
    <row r="30" spans="4:15" x14ac:dyDescent="0.25">
      <c r="D30" s="8" t="s">
        <v>39</v>
      </c>
      <c r="E30" s="9">
        <v>43333.33</v>
      </c>
      <c r="F30" s="9"/>
      <c r="G30" s="10">
        <v>46191</v>
      </c>
      <c r="H30" s="16"/>
      <c r="I30" s="9">
        <f>I29+Tabela61531183026[[#This Row],[Valor pago ]]</f>
        <v>1025637.9499999998</v>
      </c>
      <c r="J30" s="9">
        <f>M29-Tabela61531183026[[#This Row],[Valor pago ]]</f>
        <v>672505.92406056728</v>
      </c>
      <c r="K30" s="12"/>
      <c r="L30" s="9">
        <f>Tabela61531183026[[#This Row],[Valor da Dívida]]+(Tabela61531183026[[#This Row],[Valor da Dívida]]*0.42%)</f>
        <v>675330.4489416217</v>
      </c>
      <c r="M30" s="9">
        <f t="shared" si="1"/>
        <v>682083.75343103788</v>
      </c>
    </row>
    <row r="31" spans="4:15" x14ac:dyDescent="0.25">
      <c r="D31" s="18" t="s">
        <v>40</v>
      </c>
      <c r="E31" s="9">
        <v>43333.33</v>
      </c>
      <c r="F31" s="19"/>
      <c r="G31" s="10">
        <v>46221</v>
      </c>
      <c r="H31" s="20"/>
      <c r="I31" s="19">
        <f>I30+Tabela61531183026[[#This Row],[Valor pago ]]</f>
        <v>1025637.9499999998</v>
      </c>
      <c r="J31" s="9">
        <f t="shared" ref="J31:J33" si="9">M30 -F31</f>
        <v>682083.75343103788</v>
      </c>
      <c r="K31" s="21"/>
      <c r="L31" s="19">
        <f t="shared" ref="L31:L32" si="10">J31+(J31*0.56%)</f>
        <v>685903.42245025164</v>
      </c>
      <c r="M31" s="13">
        <f t="shared" si="1"/>
        <v>692762.45667475415</v>
      </c>
    </row>
    <row r="32" spans="4:15" x14ac:dyDescent="0.25">
      <c r="D32" s="8" t="s">
        <v>41</v>
      </c>
      <c r="E32" s="9">
        <v>43333.33</v>
      </c>
      <c r="F32" s="9"/>
      <c r="G32" s="10">
        <v>46252</v>
      </c>
      <c r="H32" s="15"/>
      <c r="I32" s="9">
        <f>I31+Tabela61531183026[[#This Row],[Valor pago ]]</f>
        <v>1025637.9499999998</v>
      </c>
      <c r="J32" s="9">
        <f t="shared" si="9"/>
        <v>692762.45667475415</v>
      </c>
      <c r="K32" s="12"/>
      <c r="L32" s="9">
        <f t="shared" si="10"/>
        <v>696641.92643213272</v>
      </c>
      <c r="M32" s="22">
        <f t="shared" si="1"/>
        <v>703608.34569645405</v>
      </c>
    </row>
    <row r="33" spans="4:13" x14ac:dyDescent="0.25">
      <c r="D33" s="8" t="s">
        <v>42</v>
      </c>
      <c r="E33" s="9">
        <v>43333.33</v>
      </c>
      <c r="F33" s="9"/>
      <c r="G33" s="10">
        <v>46283</v>
      </c>
      <c r="H33" s="16"/>
      <c r="I33" s="9">
        <f>I32+Tabela61531183026[[#This Row],[Valor pago ]]</f>
        <v>1025637.9499999998</v>
      </c>
      <c r="J33" s="9">
        <f t="shared" si="9"/>
        <v>703608.34569645405</v>
      </c>
      <c r="K33" s="12"/>
      <c r="L33" s="9">
        <f>Tabela61531183026[[#This Row],[Valor da Dívida]]+(Tabela61531183026[[#This Row],[Valor da Dívida]]*0.42%)</f>
        <v>706563.50074837916</v>
      </c>
      <c r="M33" s="9">
        <f t="shared" si="1"/>
        <v>713629.13575586292</v>
      </c>
    </row>
    <row r="34" spans="4:13" x14ac:dyDescent="0.25">
      <c r="D34" s="18" t="s">
        <v>43</v>
      </c>
      <c r="E34" s="9">
        <v>43333.33</v>
      </c>
      <c r="F34" s="19"/>
      <c r="G34" s="10">
        <v>46313</v>
      </c>
      <c r="H34" s="20"/>
      <c r="I34" s="19">
        <f>I33+Tabela61531183026[[#This Row],[Valor pago ]]</f>
        <v>1025637.9499999998</v>
      </c>
      <c r="J34" s="9">
        <f>M33-Tabela61531183026[[#This Row],[Valor pago ]]</f>
        <v>713629.13575586292</v>
      </c>
      <c r="K34" s="21"/>
      <c r="L34" s="19">
        <f t="shared" ref="L34:L35" si="11">J34+(J34*0.56%)</f>
        <v>717625.45891609578</v>
      </c>
      <c r="M34" s="22">
        <f t="shared" si="1"/>
        <v>724801.71350525669</v>
      </c>
    </row>
    <row r="35" spans="4:13" x14ac:dyDescent="0.25">
      <c r="D35" s="8" t="s">
        <v>44</v>
      </c>
      <c r="E35" s="9">
        <v>43333.33</v>
      </c>
      <c r="F35" s="9"/>
      <c r="G35" s="10">
        <v>46344</v>
      </c>
      <c r="H35" s="15"/>
      <c r="I35" s="9">
        <f>I34+Tabela61531183026[[#This Row],[Valor pago ]]</f>
        <v>1025637.9499999998</v>
      </c>
      <c r="J35" s="9">
        <f t="shared" ref="J35:J36" si="12">M34 -F35</f>
        <v>724801.71350525669</v>
      </c>
      <c r="K35" s="12"/>
      <c r="L35" s="9">
        <f t="shared" si="11"/>
        <v>728860.6031008861</v>
      </c>
      <c r="M35" s="13">
        <f t="shared" si="1"/>
        <v>736149.20913189498</v>
      </c>
    </row>
    <row r="36" spans="4:13" x14ac:dyDescent="0.25">
      <c r="D36" s="8" t="s">
        <v>45</v>
      </c>
      <c r="E36" s="9">
        <v>43333.33</v>
      </c>
      <c r="F36" s="9"/>
      <c r="G36" s="10">
        <v>46374</v>
      </c>
      <c r="H36" s="16"/>
      <c r="I36" s="9">
        <f>I35+Tabela61531183026[[#This Row],[Valor pago ]]</f>
        <v>1025637.9499999998</v>
      </c>
      <c r="J36" s="9">
        <f t="shared" si="12"/>
        <v>736149.20913189498</v>
      </c>
      <c r="K36" s="12"/>
      <c r="L36" s="9">
        <f>Tabela61531183026[[#This Row],[Valor da Dívida]]+(Tabela61531183026[[#This Row],[Valor da Dívida]]*0.42%)</f>
        <v>739241.03581024893</v>
      </c>
      <c r="M36" s="9">
        <f t="shared" si="1"/>
        <v>746633.44616835145</v>
      </c>
    </row>
    <row r="38" spans="4:13" x14ac:dyDescent="0.25">
      <c r="D38" s="3"/>
      <c r="E38" s="23"/>
      <c r="F38" s="23"/>
      <c r="G38" s="24"/>
      <c r="H38" s="24"/>
      <c r="I38" s="25"/>
      <c r="K38" s="26"/>
    </row>
    <row r="39" spans="4:13" x14ac:dyDescent="0.25">
      <c r="D39" s="3"/>
      <c r="E39" s="23"/>
      <c r="F39" s="23"/>
      <c r="G39" s="24"/>
      <c r="H39" s="24"/>
      <c r="I39" s="25"/>
      <c r="K39" s="26"/>
    </row>
    <row r="40" spans="4:13" x14ac:dyDescent="0.25">
      <c r="D40" s="3"/>
      <c r="E40" s="23"/>
      <c r="F40" s="23"/>
      <c r="G40" s="24"/>
      <c r="H40" s="24"/>
      <c r="I40" s="25"/>
      <c r="K40" s="26"/>
    </row>
    <row r="41" spans="4:13" x14ac:dyDescent="0.25">
      <c r="D41" s="3"/>
      <c r="E41" s="23"/>
      <c r="F41" s="23"/>
      <c r="G41" s="24"/>
      <c r="H41" s="24"/>
      <c r="I41" s="25"/>
      <c r="K41" s="26"/>
    </row>
    <row r="42" spans="4:13" x14ac:dyDescent="0.25">
      <c r="D42" s="3"/>
      <c r="E42" s="23"/>
      <c r="F42" s="23"/>
      <c r="G42" s="24"/>
      <c r="H42" s="24"/>
      <c r="I42" s="25"/>
      <c r="K42" s="26"/>
    </row>
    <row r="43" spans="4:13" x14ac:dyDescent="0.25">
      <c r="D43" s="3"/>
      <c r="G43" s="24"/>
      <c r="H43" s="24"/>
      <c r="I43" s="25"/>
      <c r="K43" s="26"/>
    </row>
    <row r="44" spans="4:13" ht="17.25" x14ac:dyDescent="0.3">
      <c r="E44" s="5" t="s">
        <v>22</v>
      </c>
      <c r="F44" s="5" t="s">
        <v>8</v>
      </c>
      <c r="I44" s="25"/>
    </row>
    <row r="45" spans="4:13" x14ac:dyDescent="0.25">
      <c r="E45" s="11">
        <v>45670</v>
      </c>
      <c r="F45" s="9">
        <v>1008.81</v>
      </c>
      <c r="I45" s="25"/>
    </row>
    <row r="46" spans="4:13" x14ac:dyDescent="0.25">
      <c r="E46" s="10">
        <v>45672</v>
      </c>
      <c r="F46" s="9">
        <v>1000</v>
      </c>
    </row>
    <row r="47" spans="4:13" x14ac:dyDescent="0.25">
      <c r="E47" s="11">
        <v>45674</v>
      </c>
      <c r="F47" s="9">
        <v>1000</v>
      </c>
    </row>
    <row r="48" spans="4:13" x14ac:dyDescent="0.25">
      <c r="E48" s="10">
        <v>45678</v>
      </c>
      <c r="F48" s="9">
        <v>5500</v>
      </c>
    </row>
    <row r="49" spans="4:19" x14ac:dyDescent="0.25">
      <c r="E49" s="11">
        <v>45679</v>
      </c>
      <c r="F49" s="9">
        <v>2000</v>
      </c>
      <c r="I49" s="17"/>
    </row>
    <row r="50" spans="4:19" x14ac:dyDescent="0.25">
      <c r="E50" s="10">
        <v>45681</v>
      </c>
      <c r="F50" s="9">
        <v>4000</v>
      </c>
      <c r="G50" s="24"/>
      <c r="H50" s="24"/>
    </row>
    <row r="51" spans="4:19" x14ac:dyDescent="0.25">
      <c r="E51" s="11">
        <v>45685</v>
      </c>
      <c r="F51" s="9">
        <v>4000</v>
      </c>
      <c r="G51" s="24"/>
      <c r="H51" s="24"/>
    </row>
    <row r="52" spans="4:19" ht="17.25" x14ac:dyDescent="0.3">
      <c r="D52" s="3"/>
      <c r="E52" s="10">
        <v>45686</v>
      </c>
      <c r="F52" s="9">
        <v>4000</v>
      </c>
      <c r="G52" s="24"/>
      <c r="H52" s="23"/>
      <c r="J52" s="5" t="s">
        <v>46</v>
      </c>
      <c r="K52" s="5" t="s">
        <v>8</v>
      </c>
    </row>
    <row r="53" spans="4:19" x14ac:dyDescent="0.25">
      <c r="D53" s="3"/>
      <c r="E53" s="11">
        <v>45687</v>
      </c>
      <c r="F53" s="9">
        <v>4000</v>
      </c>
      <c r="I53" s="17"/>
      <c r="J53" s="11">
        <v>45800</v>
      </c>
      <c r="K53" s="9">
        <v>500</v>
      </c>
    </row>
    <row r="54" spans="4:19" x14ac:dyDescent="0.25">
      <c r="D54" s="3"/>
      <c r="E54" s="10">
        <v>45688</v>
      </c>
      <c r="F54" s="9">
        <v>4000</v>
      </c>
      <c r="G54" s="17"/>
      <c r="J54" s="10">
        <v>45804</v>
      </c>
      <c r="K54" s="9">
        <v>2000</v>
      </c>
    </row>
    <row r="55" spans="4:19" x14ac:dyDescent="0.25">
      <c r="E55" s="11">
        <v>45691</v>
      </c>
      <c r="F55" s="9">
        <v>6000</v>
      </c>
      <c r="H55" s="17"/>
      <c r="J55" s="11">
        <v>45805</v>
      </c>
      <c r="K55" s="9">
        <v>2000</v>
      </c>
      <c r="S55" s="24"/>
    </row>
    <row r="56" spans="4:19" x14ac:dyDescent="0.25">
      <c r="E56" s="10">
        <v>45692</v>
      </c>
      <c r="F56" s="9">
        <v>3000</v>
      </c>
      <c r="J56" s="10">
        <v>45811</v>
      </c>
      <c r="K56" s="9">
        <v>2000</v>
      </c>
    </row>
    <row r="57" spans="4:19" x14ac:dyDescent="0.25">
      <c r="D57" s="17"/>
      <c r="E57" s="27">
        <v>45693</v>
      </c>
      <c r="F57" s="9">
        <v>5000</v>
      </c>
      <c r="J57" s="11">
        <v>45817</v>
      </c>
      <c r="K57" s="9">
        <v>1000</v>
      </c>
      <c r="L57" s="24"/>
      <c r="M57" s="24"/>
    </row>
    <row r="58" spans="4:19" x14ac:dyDescent="0.25">
      <c r="E58" s="10">
        <v>45694</v>
      </c>
      <c r="F58" s="9">
        <v>5500</v>
      </c>
      <c r="J58" s="10">
        <v>45826</v>
      </c>
      <c r="K58" s="9">
        <v>1000</v>
      </c>
      <c r="L58" s="24"/>
      <c r="M58" s="24"/>
    </row>
    <row r="59" spans="4:19" x14ac:dyDescent="0.25">
      <c r="E59" s="27">
        <v>45695</v>
      </c>
      <c r="F59" s="9">
        <v>3000</v>
      </c>
      <c r="J59" s="11">
        <v>45832</v>
      </c>
      <c r="K59" s="9">
        <v>2000</v>
      </c>
      <c r="L59" s="24"/>
      <c r="M59" s="23"/>
    </row>
    <row r="60" spans="4:19" x14ac:dyDescent="0.25">
      <c r="E60" s="10">
        <v>45698</v>
      </c>
      <c r="F60" s="9">
        <v>5000</v>
      </c>
      <c r="J60" s="10">
        <v>45834</v>
      </c>
      <c r="K60" s="9">
        <v>2000</v>
      </c>
    </row>
    <row r="61" spans="4:19" x14ac:dyDescent="0.25">
      <c r="E61" s="27">
        <v>45699</v>
      </c>
      <c r="F61" s="9">
        <v>5000</v>
      </c>
      <c r="G61" s="28" t="s">
        <v>47</v>
      </c>
      <c r="H61" s="9">
        <v>49008.81</v>
      </c>
      <c r="J61" s="11">
        <v>45838</v>
      </c>
      <c r="K61" s="9">
        <v>2000</v>
      </c>
      <c r="L61" s="17"/>
    </row>
    <row r="62" spans="4:19" x14ac:dyDescent="0.25">
      <c r="E62" s="10">
        <v>45700</v>
      </c>
      <c r="F62" s="9">
        <v>2000</v>
      </c>
      <c r="G62" s="28" t="s">
        <v>48</v>
      </c>
      <c r="H62" s="9">
        <v>17500</v>
      </c>
      <c r="J62" s="10">
        <v>45841</v>
      </c>
      <c r="K62" s="9">
        <v>1000</v>
      </c>
      <c r="L62" s="28" t="s">
        <v>49</v>
      </c>
      <c r="M62" s="9">
        <v>17500</v>
      </c>
    </row>
    <row r="63" spans="4:19" x14ac:dyDescent="0.25">
      <c r="E63" s="27">
        <v>45700</v>
      </c>
      <c r="F63" s="9">
        <v>1500</v>
      </c>
      <c r="G63" s="29" t="s">
        <v>50</v>
      </c>
      <c r="H63" s="9">
        <f>SUM(H61:H62)</f>
        <v>66508.81</v>
      </c>
      <c r="J63" s="27">
        <v>45854</v>
      </c>
      <c r="K63" s="9">
        <v>2000</v>
      </c>
      <c r="L63" s="29" t="s">
        <v>50</v>
      </c>
      <c r="M63" s="9">
        <f>SUM(M62:M62)</f>
        <v>17500</v>
      </c>
    </row>
    <row r="64" spans="4:19" x14ac:dyDescent="0.25">
      <c r="E64" s="30" t="s">
        <v>51</v>
      </c>
      <c r="F64" s="31">
        <f>SUM(F45:F63)</f>
        <v>66508.81</v>
      </c>
      <c r="G64" s="30" t="s">
        <v>52</v>
      </c>
      <c r="H64" s="31">
        <f>SUM(H63-F64)</f>
        <v>0</v>
      </c>
      <c r="J64" s="30" t="s">
        <v>51</v>
      </c>
      <c r="K64" s="31">
        <f>SUM(K53:K63)</f>
        <v>17500</v>
      </c>
      <c r="L64" s="30" t="s">
        <v>52</v>
      </c>
      <c r="M64" s="31">
        <f>SUM(M63-K64)</f>
        <v>0</v>
      </c>
    </row>
    <row r="65" spans="1:11" ht="21" x14ac:dyDescent="0.35">
      <c r="A65" s="32" t="s">
        <v>53</v>
      </c>
      <c r="B65" s="33" t="s">
        <v>54</v>
      </c>
      <c r="C65" s="34" t="s">
        <v>55</v>
      </c>
      <c r="E65" s="5" t="s">
        <v>23</v>
      </c>
      <c r="F65" s="5" t="s">
        <v>8</v>
      </c>
      <c r="J65" s="5" t="s">
        <v>24</v>
      </c>
      <c r="K65" s="5" t="s">
        <v>8</v>
      </c>
    </row>
    <row r="66" spans="1:11" x14ac:dyDescent="0.25">
      <c r="A66" s="49" t="s">
        <v>56</v>
      </c>
      <c r="B66" s="35">
        <v>17500</v>
      </c>
      <c r="C66" s="36">
        <v>45736</v>
      </c>
      <c r="E66" s="11">
        <v>45700</v>
      </c>
      <c r="F66" s="9">
        <v>500</v>
      </c>
      <c r="J66" s="10">
        <v>45856</v>
      </c>
      <c r="K66" s="9">
        <v>2000</v>
      </c>
    </row>
    <row r="67" spans="1:11" x14ac:dyDescent="0.25">
      <c r="A67" s="50" t="s">
        <v>57</v>
      </c>
      <c r="B67" s="9">
        <v>49908.4</v>
      </c>
      <c r="C67" s="37">
        <v>45734</v>
      </c>
      <c r="E67" s="10">
        <v>45702</v>
      </c>
      <c r="F67" s="9">
        <v>3000</v>
      </c>
      <c r="J67" s="27">
        <v>45861</v>
      </c>
      <c r="K67" s="38">
        <v>1908.24</v>
      </c>
    </row>
    <row r="68" spans="1:11" x14ac:dyDescent="0.25">
      <c r="A68" s="50" t="s">
        <v>58</v>
      </c>
      <c r="B68" s="9">
        <v>50689.599999999999</v>
      </c>
      <c r="C68" s="37">
        <v>45765</v>
      </c>
      <c r="E68" s="11">
        <v>45705</v>
      </c>
      <c r="F68" s="9">
        <v>1000</v>
      </c>
      <c r="J68" s="10">
        <v>45863</v>
      </c>
      <c r="K68" s="9">
        <v>1000</v>
      </c>
    </row>
    <row r="69" spans="1:11" x14ac:dyDescent="0.25">
      <c r="A69" s="28" t="s">
        <v>59</v>
      </c>
      <c r="B69" s="9">
        <v>51416.639999999999</v>
      </c>
      <c r="C69" s="37">
        <v>45796</v>
      </c>
      <c r="E69" s="10">
        <v>45707</v>
      </c>
      <c r="F69" s="9">
        <v>2000</v>
      </c>
      <c r="J69" s="10">
        <v>45870</v>
      </c>
      <c r="K69" s="9">
        <v>2000</v>
      </c>
    </row>
    <row r="70" spans="1:11" x14ac:dyDescent="0.25">
      <c r="A70" s="50" t="s">
        <v>60</v>
      </c>
      <c r="B70" s="9">
        <v>52065.83</v>
      </c>
      <c r="C70" s="37">
        <v>45826</v>
      </c>
      <c r="E70" s="11">
        <v>45708</v>
      </c>
      <c r="F70" s="9">
        <v>2000</v>
      </c>
      <c r="J70" s="10">
        <v>45874</v>
      </c>
      <c r="K70" s="9">
        <v>1000</v>
      </c>
    </row>
    <row r="71" spans="1:11" x14ac:dyDescent="0.25">
      <c r="A71" s="50" t="s">
        <v>61</v>
      </c>
      <c r="B71" s="9">
        <v>52712.7</v>
      </c>
      <c r="C71" s="37">
        <v>45856</v>
      </c>
      <c r="E71" s="10">
        <v>45712</v>
      </c>
      <c r="F71" s="9">
        <v>1000</v>
      </c>
      <c r="J71" s="27">
        <v>45876</v>
      </c>
      <c r="K71" s="38">
        <v>2000</v>
      </c>
    </row>
    <row r="72" spans="1:11" x14ac:dyDescent="0.25">
      <c r="A72" s="50" t="s">
        <v>65</v>
      </c>
      <c r="B72" s="45">
        <v>53378.239999999998</v>
      </c>
      <c r="C72" s="47">
        <v>45887</v>
      </c>
      <c r="E72" s="11">
        <v>45713</v>
      </c>
      <c r="F72" s="9">
        <v>3333.33</v>
      </c>
      <c r="J72" s="10">
        <v>45884</v>
      </c>
      <c r="K72" s="9">
        <v>1000</v>
      </c>
    </row>
    <row r="73" spans="1:11" x14ac:dyDescent="0.25">
      <c r="A73" s="50" t="s">
        <v>66</v>
      </c>
      <c r="B73" s="46">
        <v>53852.72</v>
      </c>
      <c r="C73" s="48">
        <v>45918</v>
      </c>
      <c r="E73" s="10">
        <v>45715</v>
      </c>
      <c r="F73" s="9">
        <v>4000</v>
      </c>
      <c r="J73" s="27">
        <v>45888</v>
      </c>
      <c r="K73" s="38">
        <v>1000</v>
      </c>
    </row>
    <row r="74" spans="1:11" x14ac:dyDescent="0.25">
      <c r="A74" s="50" t="s">
        <v>67</v>
      </c>
      <c r="B74" s="45">
        <v>54652.33</v>
      </c>
      <c r="C74" s="47">
        <v>45948</v>
      </c>
      <c r="E74" s="11">
        <v>45716</v>
      </c>
      <c r="F74" s="9">
        <v>4000</v>
      </c>
      <c r="J74" s="10">
        <v>45891</v>
      </c>
      <c r="K74" s="9">
        <v>1000</v>
      </c>
    </row>
    <row r="75" spans="1:11" x14ac:dyDescent="0.25">
      <c r="A75" s="28" t="s">
        <v>71</v>
      </c>
      <c r="B75" s="46">
        <v>55248.53</v>
      </c>
      <c r="C75" s="48">
        <v>45979</v>
      </c>
      <c r="E75" s="10">
        <v>45726</v>
      </c>
      <c r="F75" s="9">
        <v>1000</v>
      </c>
      <c r="G75" s="17"/>
      <c r="J75" s="27">
        <v>45895</v>
      </c>
      <c r="K75" s="38">
        <v>1000</v>
      </c>
    </row>
    <row r="76" spans="1:11" x14ac:dyDescent="0.25">
      <c r="A76" s="28" t="s">
        <v>70</v>
      </c>
      <c r="B76" s="45">
        <v>55901.45</v>
      </c>
      <c r="C76" s="47">
        <v>46009</v>
      </c>
      <c r="E76" s="11">
        <v>45733</v>
      </c>
      <c r="F76" s="9">
        <v>4000</v>
      </c>
      <c r="J76" s="10">
        <v>45898</v>
      </c>
      <c r="K76" s="9">
        <v>1000</v>
      </c>
    </row>
    <row r="77" spans="1:11" x14ac:dyDescent="0.25">
      <c r="A77" s="28" t="s">
        <v>68</v>
      </c>
      <c r="B77" s="46">
        <v>56646.79</v>
      </c>
      <c r="C77" s="48">
        <v>46040</v>
      </c>
      <c r="E77" s="10">
        <v>45743</v>
      </c>
      <c r="F77" s="9">
        <v>3500</v>
      </c>
      <c r="J77" s="27">
        <v>45902</v>
      </c>
      <c r="K77" s="38">
        <v>1000</v>
      </c>
    </row>
    <row r="78" spans="1:11" x14ac:dyDescent="0.25">
      <c r="A78" s="39" t="s">
        <v>69</v>
      </c>
      <c r="B78" s="40">
        <f>SUM(B67+B68+B69+B70+B71+B72+B73+B74+B75+B76+B77-K105)</f>
        <v>543564.99</v>
      </c>
      <c r="C78" s="39"/>
      <c r="E78" s="27">
        <v>45744</v>
      </c>
      <c r="F78" s="9">
        <v>4000</v>
      </c>
      <c r="J78" s="10">
        <v>45904</v>
      </c>
      <c r="K78" s="9">
        <v>1000</v>
      </c>
    </row>
    <row r="79" spans="1:11" x14ac:dyDescent="0.25">
      <c r="E79" s="10">
        <v>45748</v>
      </c>
      <c r="F79" s="9">
        <v>5000</v>
      </c>
      <c r="J79" s="27">
        <v>45908</v>
      </c>
      <c r="K79" s="38">
        <v>1000</v>
      </c>
    </row>
    <row r="80" spans="1:11" x14ac:dyDescent="0.25">
      <c r="E80" s="27">
        <v>45750</v>
      </c>
      <c r="F80" s="9">
        <v>2000</v>
      </c>
      <c r="J80" s="10">
        <v>45910</v>
      </c>
      <c r="K80" s="9">
        <v>1000</v>
      </c>
    </row>
    <row r="81" spans="2:11" x14ac:dyDescent="0.25">
      <c r="E81" s="10">
        <v>45751</v>
      </c>
      <c r="F81" s="9">
        <v>3000</v>
      </c>
      <c r="J81" s="27">
        <v>45915</v>
      </c>
      <c r="K81" s="38">
        <v>1000</v>
      </c>
    </row>
    <row r="82" spans="2:11" x14ac:dyDescent="0.25">
      <c r="B82" s="17"/>
      <c r="E82" s="27">
        <v>45758</v>
      </c>
      <c r="F82" s="9">
        <v>3034.45</v>
      </c>
      <c r="J82" s="10">
        <v>45917</v>
      </c>
      <c r="K82" s="9">
        <v>1000</v>
      </c>
    </row>
    <row r="83" spans="2:11" x14ac:dyDescent="0.25">
      <c r="E83" s="10">
        <v>45762</v>
      </c>
      <c r="F83" s="9">
        <v>1000</v>
      </c>
      <c r="J83" s="27">
        <v>45919</v>
      </c>
      <c r="K83" s="38">
        <v>1000</v>
      </c>
    </row>
    <row r="84" spans="2:11" x14ac:dyDescent="0.25">
      <c r="E84" s="27">
        <v>45771</v>
      </c>
      <c r="F84" s="9">
        <v>2000</v>
      </c>
      <c r="J84" s="10">
        <v>45923</v>
      </c>
      <c r="K84" s="9">
        <v>1000</v>
      </c>
    </row>
    <row r="85" spans="2:11" x14ac:dyDescent="0.25">
      <c r="B85" s="17"/>
      <c r="E85" s="10">
        <v>45775</v>
      </c>
      <c r="F85" s="9">
        <v>2000</v>
      </c>
      <c r="J85" s="27">
        <v>45925</v>
      </c>
      <c r="K85" s="38">
        <v>1000</v>
      </c>
    </row>
    <row r="86" spans="2:11" x14ac:dyDescent="0.25">
      <c r="E86" s="11">
        <v>45782</v>
      </c>
      <c r="F86" s="9">
        <v>2000</v>
      </c>
      <c r="J86" s="10">
        <v>45929</v>
      </c>
      <c r="K86" s="9">
        <v>1000</v>
      </c>
    </row>
    <row r="87" spans="2:11" x14ac:dyDescent="0.25">
      <c r="E87" s="10">
        <v>45784</v>
      </c>
      <c r="F87" s="9">
        <v>3000</v>
      </c>
      <c r="J87" s="27">
        <v>45931</v>
      </c>
      <c r="K87" s="38">
        <v>1000</v>
      </c>
    </row>
    <row r="88" spans="2:11" x14ac:dyDescent="0.25">
      <c r="E88" s="27">
        <v>45789</v>
      </c>
      <c r="F88" s="9">
        <v>3000</v>
      </c>
      <c r="J88" s="10">
        <v>45933</v>
      </c>
      <c r="K88" s="9">
        <v>1000</v>
      </c>
    </row>
    <row r="89" spans="2:11" x14ac:dyDescent="0.25">
      <c r="E89" s="10">
        <v>45790</v>
      </c>
      <c r="F89" s="9">
        <v>3000</v>
      </c>
      <c r="J89" s="27">
        <v>45937</v>
      </c>
      <c r="K89" s="38">
        <v>1000</v>
      </c>
    </row>
    <row r="90" spans="2:11" x14ac:dyDescent="0.25">
      <c r="E90" s="11">
        <v>45792</v>
      </c>
      <c r="F90" s="9">
        <v>2000</v>
      </c>
      <c r="G90" s="28" t="s">
        <v>62</v>
      </c>
      <c r="H90" s="9">
        <v>49367.78</v>
      </c>
      <c r="J90" s="10">
        <v>45939</v>
      </c>
      <c r="K90" s="9">
        <v>1000</v>
      </c>
    </row>
    <row r="91" spans="2:11" x14ac:dyDescent="0.25">
      <c r="E91" s="10">
        <v>45793</v>
      </c>
      <c r="F91" s="9">
        <v>1000</v>
      </c>
      <c r="G91" s="28" t="s">
        <v>63</v>
      </c>
      <c r="H91" s="9">
        <v>17500</v>
      </c>
      <c r="J91" s="27">
        <v>45943</v>
      </c>
      <c r="K91" s="38">
        <v>1000</v>
      </c>
    </row>
    <row r="92" spans="2:11" x14ac:dyDescent="0.25">
      <c r="E92" s="11">
        <v>45800</v>
      </c>
      <c r="F92" s="9">
        <v>1500</v>
      </c>
      <c r="G92" s="29" t="s">
        <v>50</v>
      </c>
      <c r="H92" s="9">
        <f>SUM(H90:H91)</f>
        <v>66867.78</v>
      </c>
      <c r="J92" s="10">
        <v>45964</v>
      </c>
      <c r="K92" s="9">
        <v>1000</v>
      </c>
    </row>
    <row r="93" spans="2:11" x14ac:dyDescent="0.25">
      <c r="E93" s="30" t="s">
        <v>51</v>
      </c>
      <c r="F93" s="31">
        <f>SUM(F66:F92)</f>
        <v>66867.78</v>
      </c>
      <c r="G93" s="30" t="s">
        <v>52</v>
      </c>
      <c r="H93" s="31">
        <f>SUM(H92-F93)</f>
        <v>0</v>
      </c>
      <c r="J93" s="27">
        <v>45967</v>
      </c>
      <c r="K93" s="38">
        <v>1000</v>
      </c>
    </row>
    <row r="94" spans="2:11" x14ac:dyDescent="0.25">
      <c r="J94" s="10">
        <v>45974</v>
      </c>
      <c r="K94" s="9">
        <v>1000</v>
      </c>
    </row>
    <row r="95" spans="2:11" x14ac:dyDescent="0.25">
      <c r="J95" s="27">
        <v>45978</v>
      </c>
      <c r="K95" s="38">
        <v>1000</v>
      </c>
    </row>
    <row r="96" spans="2:11" x14ac:dyDescent="0.25">
      <c r="J96" s="10">
        <v>45982</v>
      </c>
      <c r="K96" s="9">
        <v>1000</v>
      </c>
    </row>
    <row r="97" spans="10:13" x14ac:dyDescent="0.25">
      <c r="J97" s="27">
        <v>45993</v>
      </c>
      <c r="K97" s="38">
        <v>1000</v>
      </c>
    </row>
    <row r="98" spans="10:13" x14ac:dyDescent="0.25">
      <c r="J98" s="10">
        <v>45999</v>
      </c>
      <c r="K98" s="9">
        <v>2000</v>
      </c>
    </row>
    <row r="99" spans="10:13" x14ac:dyDescent="0.25">
      <c r="J99" s="27">
        <v>46001</v>
      </c>
      <c r="K99" s="38">
        <v>1000</v>
      </c>
    </row>
    <row r="100" spans="10:13" x14ac:dyDescent="0.25">
      <c r="J100" s="10">
        <v>46003</v>
      </c>
      <c r="K100" s="9">
        <v>1000</v>
      </c>
    </row>
    <row r="101" spans="10:13" x14ac:dyDescent="0.25">
      <c r="J101" s="27">
        <v>46038</v>
      </c>
      <c r="K101" s="38">
        <v>1000</v>
      </c>
    </row>
    <row r="102" spans="10:13" x14ac:dyDescent="0.25">
      <c r="J102" s="10">
        <v>46042</v>
      </c>
      <c r="K102" s="9">
        <v>1000</v>
      </c>
    </row>
    <row r="103" spans="10:13" x14ac:dyDescent="0.25">
      <c r="J103" s="27">
        <v>46044</v>
      </c>
      <c r="K103" s="38">
        <v>1000</v>
      </c>
      <c r="L103" s="28" t="s">
        <v>64</v>
      </c>
      <c r="M103" s="9">
        <v>49908.4</v>
      </c>
    </row>
    <row r="104" spans="10:13" x14ac:dyDescent="0.25">
      <c r="J104" s="10"/>
      <c r="K104" s="9"/>
      <c r="L104" s="29" t="s">
        <v>50</v>
      </c>
      <c r="M104" s="9">
        <f>SUM(M103)</f>
        <v>49908.4</v>
      </c>
    </row>
    <row r="105" spans="10:13" x14ac:dyDescent="0.25">
      <c r="J105" s="41" t="s">
        <v>51</v>
      </c>
      <c r="K105" s="42">
        <f>SUM(K66:K103)</f>
        <v>42908.24</v>
      </c>
      <c r="L105" s="43" t="s">
        <v>52</v>
      </c>
      <c r="M105" s="44">
        <f>SUM(M104-(K66+K67+K68+K69+K70+K71+K72+K73+K74+K75+K76+K77+K78+K79+K80+K81+K82+K83+K84+K85+K86+K87+K88+K89+K90+K91+K92+K93+K94+K95+K96+K97+K98+K99+K100+K101+K102+K103+K104))</f>
        <v>7000.1600000000035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E29907C1C246429E195F4FCDD720BA" ma:contentTypeVersion="10" ma:contentTypeDescription="Crie um novo documento." ma:contentTypeScope="" ma:versionID="8c408a0ecff494762bb8ecdc540b94b2">
  <xsd:schema xmlns:xsd="http://www.w3.org/2001/XMLSchema" xmlns:xs="http://www.w3.org/2001/XMLSchema" xmlns:p="http://schemas.microsoft.com/office/2006/metadata/properties" xmlns:ns3="ff90ef71-12da-4f3e-b7f7-595f8a9dbb9c" targetNamespace="http://schemas.microsoft.com/office/2006/metadata/properties" ma:root="true" ma:fieldsID="fd19c522e08391a1fa2daa1b84fb5a3e" ns3:_="">
    <xsd:import namespace="ff90ef71-12da-4f3e-b7f7-595f8a9dbb9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90ef71-12da-4f3e-b7f7-595f8a9dbb9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f90ef71-12da-4f3e-b7f7-595f8a9dbb9c" xsi:nil="true"/>
  </documentManagement>
</p:properties>
</file>

<file path=customXml/itemProps1.xml><?xml version="1.0" encoding="utf-8"?>
<ds:datastoreItem xmlns:ds="http://schemas.openxmlformats.org/officeDocument/2006/customXml" ds:itemID="{F17CA3AA-FB8A-4A4E-9A01-A3A00D17E8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90ef71-12da-4f3e-b7f7-595f8a9dbb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3A61D9-F345-4FA5-B4DD-AD519A007C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B3C1A2-8151-4D4A-B53D-83DA5EE4FD1F}">
  <ds:schemaRefs>
    <ds:schemaRef ds:uri="ff90ef71-12da-4f3e-b7f7-595f8a9dbb9c"/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Orugian</dc:creator>
  <cp:lastModifiedBy>Guilherme Orugian</cp:lastModifiedBy>
  <dcterms:created xsi:type="dcterms:W3CDTF">2025-12-15T14:44:09Z</dcterms:created>
  <dcterms:modified xsi:type="dcterms:W3CDTF">2026-01-26T14:42:24Z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0x0101007CE29907C1C246429E195F4FCDD720BA</vt:lpwstr>
  </property>
</Properties>
</file>